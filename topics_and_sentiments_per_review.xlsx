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493ado\Nextcloud\text-analytics\lectures\"/>
    </mc:Choice>
  </mc:AlternateContent>
  <xr:revisionPtr revIDLastSave="0" documentId="8_{515852BE-3586-4869-BD87-20EA7B918887}" xr6:coauthVersionLast="47" xr6:coauthVersionMax="47" xr10:uidLastSave="{00000000-0000-0000-0000-000000000000}"/>
  <bookViews>
    <workbookView xWindow="-108" yWindow="-108" windowWidth="23256" windowHeight="12456" xr2:uid="{FFC25984-7B32-4273-B857-3603D9D7B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 s="1"/>
  <c r="G22" i="1"/>
  <c r="K22" i="1" s="1"/>
  <c r="F22" i="1"/>
  <c r="J22" i="1" s="1"/>
  <c r="E22" i="1"/>
  <c r="I22" i="1" s="1"/>
  <c r="H21" i="1"/>
  <c r="L21" i="1" s="1"/>
  <c r="G21" i="1"/>
  <c r="K21" i="1" s="1"/>
  <c r="F21" i="1"/>
  <c r="J21" i="1" s="1"/>
  <c r="E21" i="1"/>
  <c r="I21" i="1" s="1"/>
  <c r="H20" i="1"/>
  <c r="L20" i="1" s="1"/>
  <c r="G20" i="1"/>
  <c r="K20" i="1" s="1"/>
  <c r="F20" i="1"/>
  <c r="J20" i="1" s="1"/>
  <c r="E20" i="1"/>
  <c r="I20" i="1" s="1"/>
  <c r="H19" i="1"/>
  <c r="L19" i="1" s="1"/>
  <c r="G19" i="1"/>
  <c r="K19" i="1" s="1"/>
  <c r="F19" i="1"/>
  <c r="N22" i="1" s="1"/>
  <c r="E19" i="1"/>
  <c r="I19" i="1" s="1"/>
  <c r="H18" i="1"/>
  <c r="L18" i="1" s="1"/>
  <c r="G18" i="1"/>
  <c r="K18" i="1" s="1"/>
  <c r="F18" i="1"/>
  <c r="J18" i="1" s="1"/>
  <c r="E18" i="1"/>
  <c r="I18" i="1" s="1"/>
  <c r="H17" i="1"/>
  <c r="L17" i="1" s="1"/>
  <c r="G17" i="1"/>
  <c r="K17" i="1" s="1"/>
  <c r="F17" i="1"/>
  <c r="J17" i="1" s="1"/>
  <c r="E17" i="1"/>
  <c r="I17" i="1" s="1"/>
  <c r="H16" i="1"/>
  <c r="L16" i="1" s="1"/>
  <c r="G16" i="1"/>
  <c r="K16" i="1" s="1"/>
  <c r="F16" i="1"/>
  <c r="J16" i="1" s="1"/>
  <c r="E16" i="1"/>
  <c r="I16" i="1" s="1"/>
  <c r="H15" i="1"/>
  <c r="L15" i="1" s="1"/>
  <c r="G15" i="1"/>
  <c r="K15" i="1" s="1"/>
  <c r="F15" i="1"/>
  <c r="J15" i="1" s="1"/>
  <c r="E15" i="1"/>
  <c r="I15" i="1" s="1"/>
  <c r="H14" i="1"/>
  <c r="L14" i="1" s="1"/>
  <c r="G14" i="1"/>
  <c r="K14" i="1" s="1"/>
  <c r="F14" i="1"/>
  <c r="J14" i="1" s="1"/>
  <c r="E14" i="1"/>
  <c r="I14" i="1" s="1"/>
  <c r="H13" i="1"/>
  <c r="P17" i="1" s="1"/>
  <c r="G13" i="1"/>
  <c r="O17" i="1" s="1"/>
  <c r="F13" i="1"/>
  <c r="N17" i="1" s="1"/>
  <c r="E13" i="1"/>
  <c r="M17" i="1" s="1"/>
  <c r="H12" i="1"/>
  <c r="L12" i="1" s="1"/>
  <c r="G12" i="1"/>
  <c r="K12" i="1" s="1"/>
  <c r="F12" i="1"/>
  <c r="J12" i="1" s="1"/>
  <c r="E12" i="1"/>
  <c r="I12" i="1" s="1"/>
  <c r="H11" i="1"/>
  <c r="L11" i="1" s="1"/>
  <c r="G11" i="1"/>
  <c r="K11" i="1" s="1"/>
  <c r="F11" i="1"/>
  <c r="J11" i="1" s="1"/>
  <c r="E11" i="1"/>
  <c r="I11" i="1" s="1"/>
  <c r="H10" i="1"/>
  <c r="L10" i="1" s="1"/>
  <c r="G10" i="1"/>
  <c r="K10" i="1" s="1"/>
  <c r="F10" i="1"/>
  <c r="J10" i="1" s="1"/>
  <c r="E10" i="1"/>
  <c r="I10" i="1" s="1"/>
  <c r="H9" i="1"/>
  <c r="L9" i="1" s="1"/>
  <c r="G9" i="1"/>
  <c r="K9" i="1" s="1"/>
  <c r="F9" i="1"/>
  <c r="J9" i="1" s="1"/>
  <c r="E9" i="1"/>
  <c r="I9" i="1" s="1"/>
  <c r="H8" i="1"/>
  <c r="L8" i="1" s="1"/>
  <c r="G8" i="1"/>
  <c r="K8" i="1" s="1"/>
  <c r="F8" i="1"/>
  <c r="J8" i="1" s="1"/>
  <c r="E8" i="1"/>
  <c r="I8" i="1" s="1"/>
  <c r="H7" i="1"/>
  <c r="P12" i="1" s="1"/>
  <c r="G7" i="1"/>
  <c r="K7" i="1" s="1"/>
  <c r="F7" i="1"/>
  <c r="J7" i="1" s="1"/>
  <c r="R12" i="1" s="1"/>
  <c r="E7" i="1"/>
  <c r="M12" i="1" s="1"/>
  <c r="B8" i="1"/>
  <c r="B9" i="1" s="1"/>
  <c r="B10" i="1" s="1"/>
  <c r="B11" i="1" s="1"/>
  <c r="B12" i="1" s="1"/>
  <c r="B14" i="1" s="1"/>
  <c r="B15" i="1" s="1"/>
  <c r="B16" i="1" s="1"/>
  <c r="B17" i="1" s="1"/>
  <c r="B19" i="1" s="1"/>
  <c r="B20" i="1" s="1"/>
  <c r="B21" i="1" s="1"/>
  <c r="B22" i="1" s="1"/>
  <c r="Q22" i="1" l="1"/>
  <c r="S12" i="1"/>
  <c r="R22" i="1"/>
  <c r="S22" i="1"/>
  <c r="T22" i="1"/>
  <c r="J13" i="1"/>
  <c r="R17" i="1" s="1"/>
  <c r="I7" i="1"/>
  <c r="Q12" i="1" s="1"/>
  <c r="I13" i="1"/>
  <c r="Q17" i="1" s="1"/>
  <c r="M22" i="1"/>
  <c r="J19" i="1"/>
  <c r="K13" i="1"/>
  <c r="S17" i="1" s="1"/>
  <c r="O22" i="1"/>
  <c r="L7" i="1"/>
  <c r="T12" i="1" s="1"/>
  <c r="L13" i="1"/>
  <c r="T17" i="1" s="1"/>
  <c r="P22" i="1"/>
  <c r="N12" i="1"/>
  <c r="O12" i="1"/>
</calcChain>
</file>

<file path=xl/sharedStrings.xml><?xml version="1.0" encoding="utf-8"?>
<sst xmlns="http://schemas.openxmlformats.org/spreadsheetml/2006/main" count="24" uniqueCount="16">
  <si>
    <t>Review ID</t>
  </si>
  <si>
    <t>sentence ID</t>
  </si>
  <si>
    <t>topic</t>
  </si>
  <si>
    <t>sentiment score</t>
  </si>
  <si>
    <t>topic1</t>
  </si>
  <si>
    <t>topic2</t>
  </si>
  <si>
    <t>topic3</t>
  </si>
  <si>
    <t>topic4</t>
  </si>
  <si>
    <t>t1_sent</t>
  </si>
  <si>
    <t>t2_sent</t>
  </si>
  <si>
    <t>t3_sent</t>
  </si>
  <si>
    <t>t4_sent</t>
  </si>
  <si>
    <t>Dummy-code the topics</t>
  </si>
  <si>
    <t>multiply topic dummies with sentiment</t>
  </si>
  <si>
    <t>This provides sentiment scores per topic</t>
  </si>
  <si>
    <t>Average the topic dummies and topic sentiments across sentences, to get review level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</si>
</sst>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9F69-9392-404B-A453-84221A81AAFC}">
  <dimension ref="A3:T22"/>
  <sheetViews>
    <sheetView tabSelected="1" topLeftCell="A2" workbookViewId="0">
      <selection activeCell="C3" sqref="C3"/>
    </sheetView>
  </sheetViews>
  <sheetFormatPr defaultRowHeight="14.4" x14ac:dyDescent="0.3"/>
  <cols>
    <col min="4" max="4" width="14" bestFit="1" customWidth="1"/>
  </cols>
  <sheetData>
    <row r="3" spans="1:20" x14ac:dyDescent="0.3">
      <c r="I3" t="s">
        <v>13</v>
      </c>
    </row>
    <row r="4" spans="1:20" x14ac:dyDescent="0.3">
      <c r="E4" t="s">
        <v>12</v>
      </c>
      <c r="I4" t="s">
        <v>14</v>
      </c>
      <c r="M4" t="s">
        <v>15</v>
      </c>
    </row>
    <row r="5" spans="1:20" x14ac:dyDescent="0.3">
      <c r="E5">
        <v>1</v>
      </c>
      <c r="F5">
        <v>2</v>
      </c>
      <c r="G5">
        <v>3</v>
      </c>
      <c r="H5">
        <v>4</v>
      </c>
    </row>
    <row r="6" spans="1:20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4</v>
      </c>
      <c r="N6" t="s">
        <v>5</v>
      </c>
      <c r="O6" t="s">
        <v>6</v>
      </c>
      <c r="P6" t="s">
        <v>7</v>
      </c>
      <c r="Q6" t="s">
        <v>8</v>
      </c>
      <c r="R6" t="s">
        <v>9</v>
      </c>
      <c r="S6" t="s">
        <v>10</v>
      </c>
      <c r="T6" t="s">
        <v>11</v>
      </c>
    </row>
    <row r="7" spans="1:20" x14ac:dyDescent="0.3">
      <c r="A7">
        <v>1</v>
      </c>
      <c r="B7">
        <v>1</v>
      </c>
      <c r="C7">
        <v>2</v>
      </c>
      <c r="D7" s="1">
        <v>0.17563663408447916</v>
      </c>
      <c r="E7">
        <f>IF($C7=E$5,1,0)</f>
        <v>0</v>
      </c>
      <c r="F7">
        <f t="shared" ref="F7:H22" si="0">IF($C7=F$5,1,0)</f>
        <v>1</v>
      </c>
      <c r="G7">
        <f t="shared" si="0"/>
        <v>0</v>
      </c>
      <c r="H7">
        <f t="shared" si="0"/>
        <v>0</v>
      </c>
      <c r="I7">
        <f>$D7*E7</f>
        <v>0</v>
      </c>
      <c r="J7">
        <f t="shared" ref="J7:J22" si="1">$D7*F7</f>
        <v>0.17563663408447916</v>
      </c>
      <c r="K7">
        <f t="shared" ref="K7:K22" si="2">$D7*G7</f>
        <v>0</v>
      </c>
      <c r="L7">
        <f t="shared" ref="L7:L22" si="3">$D7*H7</f>
        <v>0</v>
      </c>
    </row>
    <row r="8" spans="1:20" x14ac:dyDescent="0.3">
      <c r="A8">
        <v>1</v>
      </c>
      <c r="B8">
        <f>B7+1</f>
        <v>2</v>
      </c>
      <c r="C8">
        <v>3</v>
      </c>
      <c r="D8" s="1">
        <v>-0.39551986560090113</v>
      </c>
      <c r="E8">
        <f t="shared" ref="E8:H22" si="4">IF($C8=E$5,1,0)</f>
        <v>0</v>
      </c>
      <c r="F8">
        <f t="shared" si="0"/>
        <v>0</v>
      </c>
      <c r="G8">
        <f t="shared" si="0"/>
        <v>1</v>
      </c>
      <c r="H8">
        <f t="shared" si="0"/>
        <v>0</v>
      </c>
      <c r="I8">
        <f t="shared" ref="I8:I22" si="5">$D8*E8</f>
        <v>0</v>
      </c>
      <c r="J8">
        <f t="shared" si="1"/>
        <v>0</v>
      </c>
      <c r="K8">
        <f t="shared" si="2"/>
        <v>-0.39551986560090113</v>
      </c>
      <c r="L8">
        <f t="shared" si="3"/>
        <v>0</v>
      </c>
    </row>
    <row r="9" spans="1:20" x14ac:dyDescent="0.3">
      <c r="A9">
        <v>1</v>
      </c>
      <c r="B9">
        <f t="shared" ref="B9:B22" si="6">B8+1</f>
        <v>3</v>
      </c>
      <c r="C9">
        <v>1</v>
      </c>
      <c r="D9" s="1">
        <v>0.43814025494547015</v>
      </c>
      <c r="E9">
        <f t="shared" si="4"/>
        <v>1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5"/>
        <v>0.43814025494547015</v>
      </c>
      <c r="J9">
        <f t="shared" si="1"/>
        <v>0</v>
      </c>
      <c r="K9">
        <f t="shared" si="2"/>
        <v>0</v>
      </c>
      <c r="L9">
        <f t="shared" si="3"/>
        <v>0</v>
      </c>
    </row>
    <row r="10" spans="1:20" x14ac:dyDescent="0.3">
      <c r="A10">
        <v>1</v>
      </c>
      <c r="B10">
        <f t="shared" si="6"/>
        <v>4</v>
      </c>
      <c r="C10">
        <v>3</v>
      </c>
      <c r="D10" s="1">
        <v>0.40089049712317359</v>
      </c>
      <c r="E10">
        <f t="shared" si="4"/>
        <v>0</v>
      </c>
      <c r="F10">
        <f t="shared" si="0"/>
        <v>0</v>
      </c>
      <c r="G10">
        <f t="shared" si="0"/>
        <v>1</v>
      </c>
      <c r="H10">
        <f t="shared" si="0"/>
        <v>0</v>
      </c>
      <c r="I10">
        <f t="shared" si="5"/>
        <v>0</v>
      </c>
      <c r="J10">
        <f t="shared" si="1"/>
        <v>0</v>
      </c>
      <c r="K10">
        <f t="shared" si="2"/>
        <v>0.40089049712317359</v>
      </c>
      <c r="L10">
        <f t="shared" si="3"/>
        <v>0</v>
      </c>
    </row>
    <row r="11" spans="1:20" x14ac:dyDescent="0.3">
      <c r="A11">
        <v>1</v>
      </c>
      <c r="B11">
        <f t="shared" si="6"/>
        <v>5</v>
      </c>
      <c r="C11">
        <v>4</v>
      </c>
      <c r="D11" s="1">
        <v>-0.48795432059683508</v>
      </c>
      <c r="E11">
        <f t="shared" si="4"/>
        <v>0</v>
      </c>
      <c r="F11">
        <f t="shared" si="0"/>
        <v>0</v>
      </c>
      <c r="G11">
        <f t="shared" si="0"/>
        <v>0</v>
      </c>
      <c r="H11">
        <f t="shared" si="0"/>
        <v>1</v>
      </c>
      <c r="I11">
        <f t="shared" si="5"/>
        <v>0</v>
      </c>
      <c r="J11">
        <f t="shared" si="1"/>
        <v>0</v>
      </c>
      <c r="K11">
        <f t="shared" si="2"/>
        <v>0</v>
      </c>
      <c r="L11">
        <f t="shared" si="3"/>
        <v>-0.48795432059683508</v>
      </c>
    </row>
    <row r="12" spans="1:20" x14ac:dyDescent="0.3">
      <c r="A12">
        <v>1</v>
      </c>
      <c r="B12">
        <f t="shared" si="6"/>
        <v>6</v>
      </c>
      <c r="C12">
        <v>4</v>
      </c>
      <c r="D12" s="1">
        <v>0.39619517838442475</v>
      </c>
      <c r="E12">
        <f t="shared" si="4"/>
        <v>0</v>
      </c>
      <c r="F12">
        <f t="shared" si="0"/>
        <v>0</v>
      </c>
      <c r="G12">
        <f t="shared" si="0"/>
        <v>0</v>
      </c>
      <c r="H12">
        <f t="shared" si="0"/>
        <v>1</v>
      </c>
      <c r="I12">
        <f t="shared" si="5"/>
        <v>0</v>
      </c>
      <c r="J12">
        <f t="shared" si="1"/>
        <v>0</v>
      </c>
      <c r="K12">
        <f t="shared" si="2"/>
        <v>0</v>
      </c>
      <c r="L12">
        <f t="shared" si="3"/>
        <v>0.39619517838442475</v>
      </c>
      <c r="M12">
        <f>AVERAGE(E7:E12)</f>
        <v>0.16666666666666666</v>
      </c>
      <c r="N12">
        <f t="shared" ref="N12:T12" si="7">AVERAGE(F7:F12)</f>
        <v>0.16666666666666666</v>
      </c>
      <c r="O12">
        <f t="shared" si="7"/>
        <v>0.33333333333333331</v>
      </c>
      <c r="P12">
        <f t="shared" si="7"/>
        <v>0.33333333333333331</v>
      </c>
      <c r="Q12">
        <f t="shared" si="7"/>
        <v>7.3023375824245021E-2</v>
      </c>
      <c r="R12">
        <f t="shared" si="7"/>
        <v>2.9272772347413194E-2</v>
      </c>
      <c r="S12">
        <f t="shared" si="7"/>
        <v>8.9510525371207705E-4</v>
      </c>
      <c r="T12">
        <f t="shared" si="7"/>
        <v>-1.5293190368735055E-2</v>
      </c>
    </row>
    <row r="13" spans="1:20" x14ac:dyDescent="0.3">
      <c r="A13">
        <v>2</v>
      </c>
      <c r="B13">
        <v>1</v>
      </c>
      <c r="C13">
        <v>3</v>
      </c>
      <c r="D13" s="1">
        <v>0.3819995973407162</v>
      </c>
      <c r="E13">
        <f t="shared" si="4"/>
        <v>0</v>
      </c>
      <c r="F13">
        <f t="shared" si="0"/>
        <v>0</v>
      </c>
      <c r="G13">
        <f t="shared" si="0"/>
        <v>1</v>
      </c>
      <c r="H13">
        <f t="shared" si="0"/>
        <v>0</v>
      </c>
      <c r="I13">
        <f t="shared" si="5"/>
        <v>0</v>
      </c>
      <c r="J13">
        <f t="shared" si="1"/>
        <v>0</v>
      </c>
      <c r="K13">
        <f t="shared" si="2"/>
        <v>0.3819995973407162</v>
      </c>
      <c r="L13">
        <f t="shared" si="3"/>
        <v>0</v>
      </c>
    </row>
    <row r="14" spans="1:20" x14ac:dyDescent="0.3">
      <c r="A14">
        <v>2</v>
      </c>
      <c r="B14">
        <f t="shared" si="6"/>
        <v>2</v>
      </c>
      <c r="C14">
        <v>2</v>
      </c>
      <c r="D14" s="1">
        <v>-0.3927453846458403</v>
      </c>
      <c r="E14">
        <f t="shared" si="4"/>
        <v>0</v>
      </c>
      <c r="F14">
        <f t="shared" si="0"/>
        <v>1</v>
      </c>
      <c r="G14">
        <f t="shared" si="0"/>
        <v>0</v>
      </c>
      <c r="H14">
        <f t="shared" si="0"/>
        <v>0</v>
      </c>
      <c r="I14">
        <f t="shared" si="5"/>
        <v>0</v>
      </c>
      <c r="J14">
        <f t="shared" si="1"/>
        <v>-0.3927453846458403</v>
      </c>
      <c r="K14">
        <f t="shared" si="2"/>
        <v>0</v>
      </c>
      <c r="L14">
        <f t="shared" si="3"/>
        <v>0</v>
      </c>
    </row>
    <row r="15" spans="1:20" x14ac:dyDescent="0.3">
      <c r="A15">
        <v>2</v>
      </c>
      <c r="B15">
        <f t="shared" si="6"/>
        <v>3</v>
      </c>
      <c r="C15">
        <v>1</v>
      </c>
      <c r="D15" s="1">
        <v>-0.47165793774755183</v>
      </c>
      <c r="E15">
        <f t="shared" si="4"/>
        <v>1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5"/>
        <v>-0.47165793774755183</v>
      </c>
      <c r="J15">
        <f t="shared" si="1"/>
        <v>0</v>
      </c>
      <c r="K15">
        <f t="shared" si="2"/>
        <v>0</v>
      </c>
      <c r="L15">
        <f t="shared" si="3"/>
        <v>0</v>
      </c>
    </row>
    <row r="16" spans="1:20" x14ac:dyDescent="0.3">
      <c r="A16">
        <v>2</v>
      </c>
      <c r="B16">
        <f t="shared" si="6"/>
        <v>4</v>
      </c>
      <c r="C16">
        <v>2</v>
      </c>
      <c r="D16" s="1">
        <v>0.24712688359174739</v>
      </c>
      <c r="E16">
        <f t="shared" si="4"/>
        <v>0</v>
      </c>
      <c r="F16">
        <f t="shared" si="0"/>
        <v>1</v>
      </c>
      <c r="G16">
        <f t="shared" si="0"/>
        <v>0</v>
      </c>
      <c r="H16">
        <f t="shared" si="0"/>
        <v>0</v>
      </c>
      <c r="I16">
        <f t="shared" si="5"/>
        <v>0</v>
      </c>
      <c r="J16">
        <f t="shared" si="1"/>
        <v>0.24712688359174739</v>
      </c>
      <c r="K16">
        <f t="shared" si="2"/>
        <v>0</v>
      </c>
      <c r="L16">
        <f t="shared" si="3"/>
        <v>0</v>
      </c>
    </row>
    <row r="17" spans="1:20" x14ac:dyDescent="0.3">
      <c r="A17">
        <v>2</v>
      </c>
      <c r="B17">
        <f t="shared" si="6"/>
        <v>5</v>
      </c>
      <c r="C17">
        <v>4</v>
      </c>
      <c r="D17" s="1">
        <v>0.4554718339189594</v>
      </c>
      <c r="E17">
        <f t="shared" si="4"/>
        <v>0</v>
      </c>
      <c r="F17">
        <f t="shared" si="0"/>
        <v>0</v>
      </c>
      <c r="G17">
        <f t="shared" si="0"/>
        <v>0</v>
      </c>
      <c r="H17">
        <f t="shared" si="0"/>
        <v>1</v>
      </c>
      <c r="I17">
        <f t="shared" si="5"/>
        <v>0</v>
      </c>
      <c r="J17">
        <f t="shared" si="1"/>
        <v>0</v>
      </c>
      <c r="K17">
        <f t="shared" si="2"/>
        <v>0</v>
      </c>
      <c r="L17">
        <f t="shared" si="3"/>
        <v>0.4554718339189594</v>
      </c>
      <c r="M17">
        <f>AVERAGE(E13:E17)</f>
        <v>0.2</v>
      </c>
      <c r="N17">
        <f t="shared" ref="N17:T17" si="8">AVERAGE(F13:F17)</f>
        <v>0.4</v>
      </c>
      <c r="O17">
        <f t="shared" si="8"/>
        <v>0.2</v>
      </c>
      <c r="P17">
        <f t="shared" si="8"/>
        <v>0.2</v>
      </c>
      <c r="Q17">
        <f t="shared" si="8"/>
        <v>-9.4331587549510362E-2</v>
      </c>
      <c r="R17">
        <f t="shared" si="8"/>
        <v>-2.912370021081858E-2</v>
      </c>
      <c r="S17">
        <f t="shared" si="8"/>
        <v>7.6399919468143243E-2</v>
      </c>
      <c r="T17">
        <f t="shared" si="8"/>
        <v>9.1094366783791875E-2</v>
      </c>
    </row>
    <row r="18" spans="1:20" x14ac:dyDescent="0.3">
      <c r="A18">
        <v>3</v>
      </c>
      <c r="B18">
        <v>1</v>
      </c>
      <c r="C18">
        <v>4</v>
      </c>
      <c r="D18" s="1">
        <v>0.32517778976682743</v>
      </c>
      <c r="E18">
        <f t="shared" si="4"/>
        <v>0</v>
      </c>
      <c r="F18">
        <f t="shared" si="0"/>
        <v>0</v>
      </c>
      <c r="G18">
        <f t="shared" si="0"/>
        <v>0</v>
      </c>
      <c r="H18">
        <f t="shared" si="0"/>
        <v>1</v>
      </c>
      <c r="I18">
        <f t="shared" si="5"/>
        <v>0</v>
      </c>
      <c r="J18">
        <f t="shared" si="1"/>
        <v>0</v>
      </c>
      <c r="K18">
        <f t="shared" si="2"/>
        <v>0</v>
      </c>
      <c r="L18">
        <f t="shared" si="3"/>
        <v>0.32517778976682743</v>
      </c>
    </row>
    <row r="19" spans="1:20" x14ac:dyDescent="0.3">
      <c r="A19">
        <v>3</v>
      </c>
      <c r="B19">
        <f t="shared" si="6"/>
        <v>2</v>
      </c>
      <c r="C19">
        <v>2</v>
      </c>
      <c r="D19" s="1">
        <v>0.14429105075697557</v>
      </c>
      <c r="E19">
        <f t="shared" si="4"/>
        <v>0</v>
      </c>
      <c r="F19">
        <f t="shared" si="0"/>
        <v>1</v>
      </c>
      <c r="G19">
        <f t="shared" si="0"/>
        <v>0</v>
      </c>
      <c r="H19">
        <f t="shared" si="0"/>
        <v>0</v>
      </c>
      <c r="I19">
        <f t="shared" si="5"/>
        <v>0</v>
      </c>
      <c r="J19">
        <f t="shared" si="1"/>
        <v>0.14429105075697557</v>
      </c>
      <c r="K19">
        <f t="shared" si="2"/>
        <v>0</v>
      </c>
      <c r="L19">
        <f t="shared" si="3"/>
        <v>0</v>
      </c>
    </row>
    <row r="20" spans="1:20" x14ac:dyDescent="0.3">
      <c r="A20">
        <v>3</v>
      </c>
      <c r="B20">
        <f t="shared" si="6"/>
        <v>3</v>
      </c>
      <c r="C20">
        <v>2</v>
      </c>
      <c r="D20" s="1">
        <v>-0.15516229863945508</v>
      </c>
      <c r="E20">
        <f t="shared" si="4"/>
        <v>0</v>
      </c>
      <c r="F20">
        <f t="shared" si="0"/>
        <v>1</v>
      </c>
      <c r="G20">
        <f t="shared" si="0"/>
        <v>0</v>
      </c>
      <c r="H20">
        <f t="shared" si="0"/>
        <v>0</v>
      </c>
      <c r="I20">
        <f t="shared" si="5"/>
        <v>0</v>
      </c>
      <c r="J20">
        <f t="shared" si="1"/>
        <v>-0.15516229863945508</v>
      </c>
      <c r="K20">
        <f t="shared" si="2"/>
        <v>0</v>
      </c>
      <c r="L20">
        <f t="shared" si="3"/>
        <v>0</v>
      </c>
    </row>
    <row r="21" spans="1:20" x14ac:dyDescent="0.3">
      <c r="A21">
        <v>3</v>
      </c>
      <c r="B21">
        <f t="shared" si="6"/>
        <v>4</v>
      </c>
      <c r="C21">
        <v>1</v>
      </c>
      <c r="D21" s="1">
        <v>0.36493111175912873</v>
      </c>
      <c r="E21">
        <f t="shared" si="4"/>
        <v>1</v>
      </c>
      <c r="F21">
        <f t="shared" si="0"/>
        <v>0</v>
      </c>
      <c r="G21">
        <f t="shared" si="0"/>
        <v>0</v>
      </c>
      <c r="H21">
        <f t="shared" si="0"/>
        <v>0</v>
      </c>
      <c r="I21">
        <f t="shared" si="5"/>
        <v>0.36493111175912873</v>
      </c>
      <c r="J21">
        <f t="shared" si="1"/>
        <v>0</v>
      </c>
      <c r="K21">
        <f t="shared" si="2"/>
        <v>0</v>
      </c>
      <c r="L21">
        <f t="shared" si="3"/>
        <v>0</v>
      </c>
    </row>
    <row r="22" spans="1:20" x14ac:dyDescent="0.3">
      <c r="A22">
        <v>3</v>
      </c>
      <c r="B22">
        <f t="shared" si="6"/>
        <v>5</v>
      </c>
      <c r="C22">
        <v>1</v>
      </c>
      <c r="D22" s="1">
        <v>0.37260854010176647</v>
      </c>
      <c r="E22">
        <f t="shared" si="4"/>
        <v>1</v>
      </c>
      <c r="F22">
        <f t="shared" si="0"/>
        <v>0</v>
      </c>
      <c r="G22">
        <f t="shared" si="0"/>
        <v>0</v>
      </c>
      <c r="H22">
        <f t="shared" si="0"/>
        <v>0</v>
      </c>
      <c r="I22">
        <f t="shared" si="5"/>
        <v>0.37260854010176647</v>
      </c>
      <c r="J22">
        <f t="shared" si="1"/>
        <v>0</v>
      </c>
      <c r="K22">
        <f t="shared" si="2"/>
        <v>0</v>
      </c>
      <c r="L22">
        <f t="shared" si="3"/>
        <v>0</v>
      </c>
      <c r="M22">
        <f>AVERAGE(E18:E22)</f>
        <v>0.4</v>
      </c>
      <c r="N22">
        <f t="shared" ref="N22" si="9">AVERAGE(F18:F22)</f>
        <v>0.4</v>
      </c>
      <c r="O22">
        <f t="shared" ref="O22" si="10">AVERAGE(G18:G22)</f>
        <v>0</v>
      </c>
      <c r="P22">
        <f t="shared" ref="P22" si="11">AVERAGE(H18:H22)</f>
        <v>0.2</v>
      </c>
      <c r="Q22">
        <f t="shared" ref="Q22" si="12">AVERAGE(I18:I22)</f>
        <v>0.14750793037217905</v>
      </c>
      <c r="R22">
        <f t="shared" ref="R22" si="13">AVERAGE(J18:J22)</f>
        <v>-2.1742495764959014E-3</v>
      </c>
      <c r="S22">
        <f t="shared" ref="S22" si="14">AVERAGE(K18:K22)</f>
        <v>0</v>
      </c>
      <c r="T22">
        <f t="shared" ref="T22" si="15">AVERAGE(L18:L22)</f>
        <v>6.5035557953365492E-2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 Donkers</dc:creator>
  <cp:lastModifiedBy>Bas Donkers</cp:lastModifiedBy>
  <dcterms:created xsi:type="dcterms:W3CDTF">2026-03-26T08:18:40Z</dcterms:created>
  <dcterms:modified xsi:type="dcterms:W3CDTF">2026-03-26T08:36:12Z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2026-03-26T08:35:30Z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39a8b31d-a769-4a3a-9e3b-3fd51705a35c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